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-10\Documents\"/>
    </mc:Choice>
  </mc:AlternateContent>
  <xr:revisionPtr revIDLastSave="0" documentId="13_ncr:1_{A9DE7B00-3360-481F-98F8-74EF3C49DECB}" xr6:coauthVersionLast="47" xr6:coauthVersionMax="47" xr10:uidLastSave="{00000000-0000-0000-0000-000000000000}"/>
  <bookViews>
    <workbookView xWindow="-120" yWindow="-120" windowWidth="24240" windowHeight="13020" xr2:uid="{29AA5D55-F86E-4FFF-9013-B5DDD4C613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0" i="1" l="1" a="1"/>
  <c r="L30" i="1" s="1"/>
  <c r="K30" i="1" a="1"/>
  <c r="K30" i="1" s="1"/>
  <c r="J30" i="1" a="1"/>
  <c r="J30" i="1" s="1"/>
  <c r="I30" i="1"/>
  <c r="H30" i="1"/>
  <c r="G30" i="1"/>
  <c r="F30" i="1"/>
  <c r="D30" i="1"/>
  <c r="C30" i="1"/>
  <c r="B30" i="1"/>
  <c r="A30" i="1"/>
  <c r="N17" i="1" a="1"/>
  <c r="N17" i="1" s="1"/>
  <c r="M18" i="1" a="1"/>
  <c r="M18" i="1" s="1"/>
  <c r="M17" i="1"/>
  <c r="K17" i="1" a="1"/>
  <c r="K17" i="1" s="1"/>
  <c r="J17" i="1" a="1"/>
  <c r="J17" i="1" s="1"/>
  <c r="P5" i="1"/>
  <c r="F17" i="1" a="1"/>
  <c r="F17" i="1" s="1"/>
  <c r="E18" i="1" a="1"/>
  <c r="E18" i="1" s="1"/>
  <c r="E17" i="1"/>
  <c r="D19" i="1" a="1"/>
  <c r="D19" i="1" s="1"/>
  <c r="D18" i="1"/>
  <c r="D17" i="1"/>
  <c r="C26" i="1"/>
  <c r="C25" i="1"/>
  <c r="C24" i="1"/>
  <c r="C23" i="1"/>
  <c r="C22" i="1"/>
  <c r="C21" i="1"/>
  <c r="C20" i="1"/>
  <c r="C19" i="1"/>
  <c r="C18" i="1"/>
  <c r="C17" i="1"/>
  <c r="B26" i="1"/>
  <c r="B25" i="1"/>
  <c r="B24" i="1"/>
  <c r="B23" i="1"/>
  <c r="B22" i="1"/>
  <c r="B21" i="1"/>
  <c r="B20" i="1"/>
  <c r="B19" i="1"/>
  <c r="B18" i="1"/>
  <c r="B17" i="1"/>
  <c r="A17" i="1" a="1"/>
  <c r="A1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<sst xmlns="http://schemas.openxmlformats.org/spreadsheetml/2006/main" count="102" uniqueCount="74">
  <si>
    <t>Emp Id</t>
  </si>
  <si>
    <t>Employee name</t>
  </si>
  <si>
    <t>Department</t>
  </si>
  <si>
    <t>City</t>
  </si>
  <si>
    <t>Join date</t>
  </si>
  <si>
    <t>Login Time</t>
  </si>
  <si>
    <t>Salary</t>
  </si>
  <si>
    <t>Target</t>
  </si>
  <si>
    <t>Attendance</t>
  </si>
  <si>
    <t>Gender</t>
  </si>
  <si>
    <t>Status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</si>
  <si>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</si>
  <si>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</si>
  <si>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</si>
  <si>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</si>
  <si>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</si>
  <si>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</si>
  <si>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</si>
  <si>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</si>
  <si>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</si>
  <si>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</si>
  <si>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Rohit Sharma</t>
  </si>
  <si>
    <t>Anita Singh</t>
  </si>
  <si>
    <t>Rohit kumar</t>
  </si>
  <si>
    <t xml:space="preserve">neha Patil </t>
  </si>
  <si>
    <t>Amit Shah</t>
  </si>
  <si>
    <t>Priya Joshi</t>
  </si>
  <si>
    <t>Karan More</t>
  </si>
  <si>
    <t>Sneha Kulkarni</t>
  </si>
  <si>
    <t>Akash Jain</t>
  </si>
  <si>
    <t>Pooja Verma</t>
  </si>
  <si>
    <t>HR</t>
  </si>
  <si>
    <t>Sales</t>
  </si>
  <si>
    <t>IT</t>
  </si>
  <si>
    <t>Finance</t>
  </si>
  <si>
    <t>Pune</t>
  </si>
  <si>
    <t>Mumbai</t>
  </si>
  <si>
    <t>Nagpur</t>
  </si>
  <si>
    <t>Nashik</t>
  </si>
  <si>
    <t>Delhi</t>
  </si>
  <si>
    <t>Male</t>
  </si>
  <si>
    <t>Female</t>
  </si>
  <si>
    <t>Active</t>
  </si>
  <si>
    <t>Inactive</t>
  </si>
  <si>
    <t>QUE 3</t>
  </si>
  <si>
    <t>QUE 2</t>
  </si>
  <si>
    <t>QUE 1</t>
  </si>
  <si>
    <t>QUE 4</t>
  </si>
  <si>
    <t>QUE 5</t>
  </si>
  <si>
    <t>QUE 6</t>
  </si>
  <si>
    <t>QUE 7</t>
  </si>
  <si>
    <t>QUS 8</t>
  </si>
  <si>
    <t>QUS 9</t>
  </si>
  <si>
    <t>QUE 10</t>
  </si>
  <si>
    <t>QUE 11</t>
  </si>
  <si>
    <t>que 12</t>
  </si>
  <si>
    <t>QUE 13</t>
  </si>
  <si>
    <t>QUS 14</t>
  </si>
  <si>
    <t>QUS 15</t>
  </si>
  <si>
    <t>Que 16</t>
  </si>
  <si>
    <t>QUS 17</t>
  </si>
  <si>
    <t>QUS 18</t>
  </si>
  <si>
    <t>QUS 19</t>
  </si>
  <si>
    <t>QUS 20</t>
  </si>
  <si>
    <t>QUS 21</t>
  </si>
  <si>
    <t>QUS 22</t>
  </si>
  <si>
    <t>QUS 23</t>
  </si>
  <si>
    <t>QUS 24</t>
  </si>
  <si>
    <t>QUS 25</t>
  </si>
  <si>
    <t>QUS 26</t>
  </si>
  <si>
    <t>QUS 27</t>
  </si>
  <si>
    <t>QUS 28</t>
  </si>
  <si>
    <t>QUS 29</t>
  </si>
  <si>
    <t>QUS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</si>
</sst>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116FE-1619-4776-8781-89D9B8E5CDCD}">
  <dimension ref="A1:P39"/>
  <sheetViews>
    <sheetView tabSelected="1" topLeftCell="A16" workbookViewId="0">
      <selection activeCell="N30" sqref="N30"/>
    </sheetView>
  </sheetViews>
  <sheetFormatPr defaultRowHeight="15" x14ac:dyDescent="0.25"/>
  <cols>
    <col min="1" max="1" width="14.85546875" customWidth="1"/>
    <col min="2" max="2" width="16.28515625" customWidth="1"/>
    <col min="3" max="3" width="12.140625" customWidth="1"/>
    <col min="4" max="4" width="11.140625" customWidth="1"/>
    <col min="5" max="5" width="14.28515625" customWidth="1"/>
    <col min="6" max="6" width="11.7109375" customWidth="1"/>
    <col min="7" max="7" width="14.140625" customWidth="1"/>
    <col min="8" max="8" width="12.140625" customWidth="1"/>
    <col min="9" max="9" width="12.7109375" customWidth="1"/>
    <col min="10" max="10" width="20.85546875" customWidth="1"/>
    <col min="11" max="11" width="18.140625" customWidth="1"/>
    <col min="12" max="12" width="14.5703125" customWidth="1"/>
    <col min="14" max="14" width="13.42578125" customWidth="1"/>
    <col min="16" max="16" width="10.7109375" bestFit="1" customWidth="1"/>
  </cols>
  <sheetData>
    <row r="1" spans="1:16" ht="26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</v>
      </c>
      <c r="I1" t="s">
        <v>7</v>
      </c>
      <c r="J1" t="s">
        <v>8</v>
      </c>
      <c r="K1" t="s">
        <v>9</v>
      </c>
      <c r="L1" t="s">
        <v>10</v>
      </c>
    </row>
    <row r="2" spans="1:16" x14ac:dyDescent="0.25">
      <c r="A2" t="s">
        <v>11</v>
      </c>
      <c r="B2" t="s">
        <v>21</v>
      </c>
      <c r="C2" t="s">
        <v>32</v>
      </c>
      <c r="D2" t="s">
        <v>35</v>
      </c>
      <c r="E2" s="2">
        <v>45303</v>
      </c>
      <c r="F2" s="3">
        <v>0.37847222222222221</v>
      </c>
      <c r="G2">
        <v>35000</v>
      </c>
      <c r="H2">
        <v>125000</v>
      </c>
      <c r="I2">
        <v>100000</v>
      </c>
      <c r="J2">
        <v>96</v>
      </c>
      <c r="K2" t="s">
        <v>40</v>
      </c>
      <c r="L2" t="s">
        <v>42</v>
      </c>
    </row>
    <row r="3" spans="1:16" x14ac:dyDescent="0.25">
      <c r="A3" t="s">
        <v>12</v>
      </c>
      <c r="B3" t="s">
        <v>22</v>
      </c>
      <c r="C3" t="s">
        <v>31</v>
      </c>
      <c r="D3" t="s">
        <v>36</v>
      </c>
      <c r="E3" s="2">
        <v>45003</v>
      </c>
      <c r="F3" s="3">
        <v>0.40625</v>
      </c>
      <c r="G3">
        <v>42000</v>
      </c>
      <c r="H3">
        <v>0</v>
      </c>
      <c r="I3">
        <v>0</v>
      </c>
      <c r="J3">
        <v>88</v>
      </c>
      <c r="K3" t="s">
        <v>41</v>
      </c>
      <c r="L3" t="s">
        <v>42</v>
      </c>
    </row>
    <row r="4" spans="1:16" x14ac:dyDescent="0.25">
      <c r="A4" t="s">
        <v>13</v>
      </c>
      <c r="B4" t="s">
        <v>23</v>
      </c>
      <c r="C4" t="s">
        <v>32</v>
      </c>
      <c r="D4" t="s">
        <v>35</v>
      </c>
      <c r="E4" s="2">
        <v>45828</v>
      </c>
      <c r="F4" s="3">
        <v>0.39583333333333331</v>
      </c>
      <c r="G4">
        <v>38000</v>
      </c>
      <c r="H4">
        <v>98000</v>
      </c>
      <c r="I4">
        <v>100000</v>
      </c>
      <c r="J4">
        <v>91</v>
      </c>
      <c r="K4" t="s">
        <v>40</v>
      </c>
      <c r="L4" t="s">
        <v>42</v>
      </c>
    </row>
    <row r="5" spans="1:16" x14ac:dyDescent="0.25">
      <c r="A5" t="s">
        <v>14</v>
      </c>
      <c r="B5" t="s">
        <v>24</v>
      </c>
      <c r="C5" t="s">
        <v>33</v>
      </c>
      <c r="D5" t="s">
        <v>37</v>
      </c>
      <c r="E5" s="2">
        <v>45337</v>
      </c>
      <c r="F5" s="3">
        <v>0.42708333333333331</v>
      </c>
      <c r="G5">
        <v>55000</v>
      </c>
      <c r="H5">
        <v>0</v>
      </c>
      <c r="I5">
        <v>0</v>
      </c>
      <c r="J5">
        <v>72</v>
      </c>
      <c r="K5" t="s">
        <v>41</v>
      </c>
      <c r="L5" t="s">
        <v>43</v>
      </c>
      <c r="P5" s="1">
        <f ca="1">TODAY()</f>
        <v>46204</v>
      </c>
    </row>
    <row r="6" spans="1:16" x14ac:dyDescent="0.25">
      <c r="A6" t="s">
        <v>15</v>
      </c>
      <c r="B6" t="s">
        <v>25</v>
      </c>
      <c r="C6" t="s">
        <v>32</v>
      </c>
      <c r="D6" t="s">
        <v>36</v>
      </c>
      <c r="E6" s="2">
        <v>44676</v>
      </c>
      <c r="F6" s="3">
        <v>0.37152777777777779</v>
      </c>
      <c r="G6">
        <v>60000</v>
      </c>
      <c r="H6">
        <v>180000</v>
      </c>
      <c r="I6">
        <v>150000</v>
      </c>
      <c r="J6">
        <v>99</v>
      </c>
      <c r="K6" t="s">
        <v>40</v>
      </c>
      <c r="L6" t="s">
        <v>42</v>
      </c>
    </row>
    <row r="7" spans="1:16" x14ac:dyDescent="0.25">
      <c r="A7" t="s">
        <v>16</v>
      </c>
      <c r="B7" t="s">
        <v>26</v>
      </c>
      <c r="C7" t="s">
        <v>34</v>
      </c>
      <c r="D7" t="s">
        <v>38</v>
      </c>
      <c r="E7" s="2">
        <v>45143</v>
      </c>
      <c r="F7" s="3">
        <v>0.38194444444444442</v>
      </c>
      <c r="G7">
        <v>45000</v>
      </c>
      <c r="H7">
        <v>0</v>
      </c>
      <c r="I7">
        <v>0</v>
      </c>
      <c r="J7">
        <v>90</v>
      </c>
      <c r="K7" t="s">
        <v>41</v>
      </c>
      <c r="L7" t="s">
        <v>42</v>
      </c>
    </row>
    <row r="8" spans="1:16" x14ac:dyDescent="0.25">
      <c r="A8" t="s">
        <v>17</v>
      </c>
      <c r="B8" t="s">
        <v>27</v>
      </c>
      <c r="C8" t="s">
        <v>32</v>
      </c>
      <c r="D8" t="s">
        <v>35</v>
      </c>
      <c r="E8" s="2">
        <v>45626</v>
      </c>
      <c r="F8" s="3">
        <v>0.3888888888888889</v>
      </c>
      <c r="G8">
        <v>40000</v>
      </c>
      <c r="H8">
        <v>150000</v>
      </c>
      <c r="I8">
        <v>120000</v>
      </c>
      <c r="J8">
        <v>85</v>
      </c>
      <c r="K8" t="s">
        <v>40</v>
      </c>
      <c r="L8" t="s">
        <v>42</v>
      </c>
    </row>
    <row r="9" spans="1:16" x14ac:dyDescent="0.25">
      <c r="A9" t="s">
        <v>18</v>
      </c>
      <c r="B9" t="s">
        <v>28</v>
      </c>
      <c r="C9" t="s">
        <v>33</v>
      </c>
      <c r="D9" t="s">
        <v>35</v>
      </c>
      <c r="E9" s="2">
        <v>45789</v>
      </c>
      <c r="F9" s="3">
        <v>0.40277777777777779</v>
      </c>
      <c r="G9">
        <v>50000</v>
      </c>
      <c r="H9">
        <v>0</v>
      </c>
      <c r="I9">
        <v>0</v>
      </c>
      <c r="J9">
        <v>80</v>
      </c>
      <c r="K9" t="s">
        <v>41</v>
      </c>
      <c r="L9" t="s">
        <v>42</v>
      </c>
    </row>
    <row r="10" spans="1:16" x14ac:dyDescent="0.25">
      <c r="A10" t="s">
        <v>19</v>
      </c>
      <c r="B10" t="s">
        <v>29</v>
      </c>
      <c r="C10" t="s">
        <v>32</v>
      </c>
      <c r="D10" t="s">
        <v>39</v>
      </c>
      <c r="E10" s="2">
        <v>45481</v>
      </c>
      <c r="F10" s="3">
        <v>0.3923611111111111</v>
      </c>
      <c r="G10">
        <v>47000</v>
      </c>
      <c r="H10">
        <v>90000</v>
      </c>
      <c r="I10">
        <v>100000</v>
      </c>
      <c r="J10">
        <v>78</v>
      </c>
      <c r="K10" t="s">
        <v>40</v>
      </c>
      <c r="L10" t="s">
        <v>42</v>
      </c>
    </row>
    <row r="11" spans="1:16" x14ac:dyDescent="0.25">
      <c r="A11" t="s">
        <v>20</v>
      </c>
      <c r="B11" t="s">
        <v>30</v>
      </c>
      <c r="C11" t="s">
        <v>31</v>
      </c>
      <c r="D11" t="s">
        <v>35</v>
      </c>
      <c r="E11" s="2">
        <v>45215</v>
      </c>
      <c r="F11" s="3">
        <v>0.38541666666666669</v>
      </c>
      <c r="G11">
        <v>43000</v>
      </c>
      <c r="H11">
        <v>0</v>
      </c>
      <c r="I11">
        <v>0</v>
      </c>
      <c r="J11">
        <v>95</v>
      </c>
      <c r="K11" t="s">
        <v>41</v>
      </c>
      <c r="L11" t="s">
        <v>42</v>
      </c>
    </row>
    <row r="16" spans="1:16" x14ac:dyDescent="0.25">
      <c r="A16" t="s">
        <v>46</v>
      </c>
      <c r="B16" t="s">
        <v>45</v>
      </c>
      <c r="C16" t="s">
        <v>44</v>
      </c>
      <c r="D16" t="s">
        <v>47</v>
      </c>
      <c r="E16" t="s">
        <v>48</v>
      </c>
      <c r="F16" t="s">
        <v>49</v>
      </c>
      <c r="G16" t="s">
        <v>50</v>
      </c>
      <c r="H16" t="s">
        <v>51</v>
      </c>
      <c r="I16" t="s">
        <v>52</v>
      </c>
      <c r="J16" t="s">
        <v>53</v>
      </c>
      <c r="K16" t="s">
        <v>54</v>
      </c>
      <c r="L16" t="s">
        <v>55</v>
      </c>
      <c r="M16" t="s">
        <v>56</v>
      </c>
      <c r="N16" t="s">
        <v>57</v>
      </c>
      <c r="O16" t="s">
        <v>58</v>
      </c>
    </row>
    <row r="17" spans="1:15" x14ac:dyDescent="0.25">
      <c r="A17" t="str" cm="1">
        <f t="array" ref="A17:A26">PROPER(B2:B11)</f>
        <v>Rohit Sharma</v>
      </c>
      <c r="B17" t="str">
        <f>LEFT(B2,5)</f>
        <v>Rohit</v>
      </c>
      <c r="C17" t="str">
        <f>RIGHT(B2,6)</f>
        <v>Sharma</v>
      </c>
      <c r="D17" t="str">
        <f>UPPER(D2)</f>
        <v>PUNE</v>
      </c>
      <c r="E17" t="str">
        <f>LEFT(C2,3)</f>
        <v>Sal</v>
      </c>
      <c r="F17" cm="1">
        <f t="array" ref="F17:F26">LEN(B2:B11)</f>
        <v>12</v>
      </c>
      <c r="J17" t="str" cm="1">
        <f t="array" ref="J17:J26">TEXT(E2:E11,"mmmm")</f>
        <v>January</v>
      </c>
      <c r="K17" t="str" cm="1">
        <f t="array" ref="K17:K26">TEXT(E2:E11,"dddd")</f>
        <v>Friday</v>
      </c>
      <c r="L17" s="2"/>
      <c r="M17">
        <f>HOUR(F2)</f>
        <v>9</v>
      </c>
      <c r="N17" cm="1">
        <f t="array" ref="N17:N26">MINUTE(F2:F11)</f>
        <v>5</v>
      </c>
    </row>
    <row r="18" spans="1:15" x14ac:dyDescent="0.25">
      <c r="A18" t="str">
        <v>Anita Singh</v>
      </c>
      <c r="B18" t="str">
        <f>LEFT(B3,5)</f>
        <v>Anita</v>
      </c>
      <c r="C18" t="str">
        <f>RIGHT(B3,5)</f>
        <v>Singh</v>
      </c>
      <c r="D18" t="str">
        <f>UPPER(D3)</f>
        <v>MUMBAI</v>
      </c>
      <c r="E18" t="str" cm="1">
        <f t="array" ref="E18:E26">LEFT(C3:C11,3)</f>
        <v>HR</v>
      </c>
      <c r="F18">
        <v>11</v>
      </c>
      <c r="J18" t="str">
        <v>March</v>
      </c>
      <c r="K18" t="str">
        <v>Saturday</v>
      </c>
      <c r="M18" cm="1">
        <f t="array" ref="M18:M26">HOUR(F3:F11)</f>
        <v>9</v>
      </c>
      <c r="N18">
        <v>45</v>
      </c>
    </row>
    <row r="19" spans="1:15" x14ac:dyDescent="0.25">
      <c r="A19" t="str">
        <v>Rohit Kumar</v>
      </c>
      <c r="B19" t="str">
        <f>LEFT(B4,5)</f>
        <v>Rohit</v>
      </c>
      <c r="C19" t="str">
        <f>RIGHT(B4,5)</f>
        <v>kumar</v>
      </c>
      <c r="D19" t="str" cm="1">
        <f t="array" ref="D19:D26">UPPER(D4:D11)</f>
        <v>PUNE</v>
      </c>
      <c r="E19" t="str">
        <v>Sal</v>
      </c>
      <c r="F19">
        <v>11</v>
      </c>
      <c r="J19" t="str">
        <v>June</v>
      </c>
      <c r="K19" t="str">
        <v>Friday</v>
      </c>
      <c r="M19">
        <v>9</v>
      </c>
      <c r="N19">
        <v>30</v>
      </c>
    </row>
    <row r="20" spans="1:15" x14ac:dyDescent="0.25">
      <c r="A20" t="str">
        <v xml:space="preserve">Neha Patil </v>
      </c>
      <c r="B20" t="str">
        <f>LEFT(B5,4)</f>
        <v>neha</v>
      </c>
      <c r="C20" t="str">
        <f>RIGHT(B5,6)</f>
        <v xml:space="preserve">Patil </v>
      </c>
      <c r="D20" t="str">
        <v>NAGPUR</v>
      </c>
      <c r="E20" t="str">
        <v>IT</v>
      </c>
      <c r="F20">
        <v>11</v>
      </c>
      <c r="J20" t="str">
        <v>February</v>
      </c>
      <c r="K20" t="str">
        <v>Thursday</v>
      </c>
      <c r="M20">
        <v>10</v>
      </c>
      <c r="N20">
        <v>15</v>
      </c>
    </row>
    <row r="21" spans="1:15" x14ac:dyDescent="0.25">
      <c r="A21" t="str">
        <v>Amit Shah</v>
      </c>
      <c r="B21" t="str">
        <f>LEFT(B6,4)</f>
        <v>Amit</v>
      </c>
      <c r="C21" t="str">
        <f>RIGHT(B6,4)</f>
        <v>Shah</v>
      </c>
      <c r="D21" t="str">
        <v>MUMBAI</v>
      </c>
      <c r="E21" t="str">
        <v>Sal</v>
      </c>
      <c r="F21">
        <v>9</v>
      </c>
      <c r="J21" t="str">
        <v>April</v>
      </c>
      <c r="K21" t="str">
        <v>Monday</v>
      </c>
      <c r="M21">
        <v>8</v>
      </c>
      <c r="N21">
        <v>55</v>
      </c>
    </row>
    <row r="22" spans="1:15" x14ac:dyDescent="0.25">
      <c r="A22" t="str">
        <v>Priya Joshi</v>
      </c>
      <c r="B22" t="str">
        <f>LEFT(B7,5)</f>
        <v>Priya</v>
      </c>
      <c r="C22" t="str">
        <f>RIGHT(B7,5)</f>
        <v>Joshi</v>
      </c>
      <c r="D22" t="str">
        <v>NASHIK</v>
      </c>
      <c r="E22" t="str">
        <v>Fin</v>
      </c>
      <c r="F22">
        <v>11</v>
      </c>
      <c r="J22" t="str">
        <v>August</v>
      </c>
      <c r="K22" t="str">
        <v>Saturday</v>
      </c>
      <c r="M22">
        <v>9</v>
      </c>
      <c r="N22">
        <v>10</v>
      </c>
    </row>
    <row r="23" spans="1:15" x14ac:dyDescent="0.25">
      <c r="A23" t="str">
        <v>Karan More</v>
      </c>
      <c r="B23" t="str">
        <f>LEFT(B8,5)</f>
        <v>Karan</v>
      </c>
      <c r="C23" t="str">
        <f>RIGHT(B8,4)</f>
        <v>More</v>
      </c>
      <c r="D23" t="str">
        <v>PUNE</v>
      </c>
      <c r="E23" t="str">
        <v>Sal</v>
      </c>
      <c r="F23">
        <v>10</v>
      </c>
      <c r="J23" t="str">
        <v>November</v>
      </c>
      <c r="K23" t="str">
        <v>Saturday</v>
      </c>
      <c r="M23">
        <v>9</v>
      </c>
      <c r="N23">
        <v>20</v>
      </c>
    </row>
    <row r="24" spans="1:15" x14ac:dyDescent="0.25">
      <c r="A24" t="str">
        <v>Sneha Kulkarni</v>
      </c>
      <c r="B24" t="str">
        <f>LEFT(B9,5)</f>
        <v>Sneha</v>
      </c>
      <c r="C24" t="str">
        <f>RIGHT(B9,8)</f>
        <v>Kulkarni</v>
      </c>
      <c r="D24" t="str">
        <v>PUNE</v>
      </c>
      <c r="E24" t="str">
        <v>IT</v>
      </c>
      <c r="F24">
        <v>14</v>
      </c>
      <c r="J24" t="str">
        <v>May</v>
      </c>
      <c r="K24" t="str">
        <v>Monday</v>
      </c>
      <c r="M24">
        <v>9</v>
      </c>
      <c r="N24">
        <v>40</v>
      </c>
    </row>
    <row r="25" spans="1:15" x14ac:dyDescent="0.25">
      <c r="A25" t="str">
        <v>Akash Jain</v>
      </c>
      <c r="B25" t="str">
        <f>LEFT(B10,5)</f>
        <v>Akash</v>
      </c>
      <c r="C25" t="str">
        <f>RIGHT(B10,4)</f>
        <v>Jain</v>
      </c>
      <c r="D25" t="str">
        <v>DELHI</v>
      </c>
      <c r="E25" t="str">
        <v>Sal</v>
      </c>
      <c r="F25">
        <v>10</v>
      </c>
      <c r="J25" t="str">
        <v>July</v>
      </c>
      <c r="K25" t="str">
        <v>Monday</v>
      </c>
      <c r="M25">
        <v>9</v>
      </c>
      <c r="N25">
        <v>25</v>
      </c>
    </row>
    <row r="26" spans="1:15" x14ac:dyDescent="0.25">
      <c r="A26" t="str">
        <v>Pooja Verma</v>
      </c>
      <c r="B26" t="str">
        <f>LEFT(B11,5)</f>
        <v>Pooja</v>
      </c>
      <c r="C26" t="str">
        <f>RIGHT(B11,5)</f>
        <v>Verma</v>
      </c>
      <c r="D26" t="str">
        <v>PUNE</v>
      </c>
      <c r="E26" t="str">
        <v>HR</v>
      </c>
      <c r="F26">
        <v>11</v>
      </c>
      <c r="J26" t="str">
        <v>October</v>
      </c>
      <c r="K26" t="str">
        <v>Monday</v>
      </c>
      <c r="M26">
        <v>9</v>
      </c>
      <c r="N26">
        <v>15</v>
      </c>
    </row>
    <row r="29" spans="1:15" x14ac:dyDescent="0.25">
      <c r="A29" t="s">
        <v>59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 t="s">
        <v>65</v>
      </c>
      <c r="H29" t="s">
        <v>66</v>
      </c>
      <c r="I29" t="s">
        <v>67</v>
      </c>
      <c r="J29" t="s">
        <v>68</v>
      </c>
      <c r="K29" t="s">
        <v>69</v>
      </c>
      <c r="L29" t="s">
        <v>70</v>
      </c>
      <c r="M29" t="s">
        <v>71</v>
      </c>
      <c r="N29" t="s">
        <v>72</v>
      </c>
      <c r="O29" t="s">
        <v>73</v>
      </c>
    </row>
    <row r="30" spans="1:15" x14ac:dyDescent="0.25">
      <c r="A30">
        <f>COUNTA(B2:B11)</f>
        <v>10</v>
      </c>
      <c r="B30">
        <f>COUNTIF(D2:D11,"PUNE")</f>
        <v>5</v>
      </c>
      <c r="C30">
        <f>COUNTIF(K2:K11,"FEMALE")</f>
        <v>5</v>
      </c>
      <c r="D30">
        <f>COUNTIF(G2:G11,"&gt;45000")</f>
        <v>4</v>
      </c>
      <c r="F30">
        <f>SUM(G2:G11)</f>
        <v>455000</v>
      </c>
      <c r="G30">
        <f>AVERAGE(G2:G11)</f>
        <v>45500</v>
      </c>
      <c r="H30">
        <f>MAX(H2:H11)</f>
        <v>180000</v>
      </c>
      <c r="I30">
        <f>MIN(G2:G11)</f>
        <v>35000</v>
      </c>
      <c r="J30" t="str" cm="1">
        <f t="array" ref="J30:J39">IF(J2:J11&gt;=80,"PRESENT","NEEDS IMPROVEMENT")</f>
        <v>PRESENT</v>
      </c>
      <c r="K30" t="str" cm="1">
        <f t="array" ref="K30:K39">IF(H2:H11&gt;=I2:I11,"TARGET ACHIEVED","TARGET MISSED")</f>
        <v>TARGET ACHIEVED</v>
      </c>
      <c r="L30" t="str" cm="1">
        <f t="array" ref="L30:L39">_xlfn.IFS(G2:G11&gt;=60000,"A+",G2:G11&gt;=50000,"A",G2:G11&gt;=45000,"B",G2:G11&gt;=40000,"C",G2:G11&gt;=35000,"D")</f>
        <v>D</v>
      </c>
    </row>
    <row r="31" spans="1:15" x14ac:dyDescent="0.25">
      <c r="J31" t="str">
        <v>PRESENT</v>
      </c>
      <c r="K31" t="str">
        <v>TARGET ACHIEVED</v>
      </c>
      <c r="L31" t="str">
        <v>C</v>
      </c>
    </row>
    <row r="32" spans="1:15" x14ac:dyDescent="0.25">
      <c r="J32" t="str">
        <v>PRESENT</v>
      </c>
      <c r="K32" t="str">
        <v>TARGET MISSED</v>
      </c>
      <c r="L32" t="str">
        <v>D</v>
      </c>
    </row>
    <row r="33" spans="10:12" x14ac:dyDescent="0.25">
      <c r="J33" t="str">
        <v>NEEDS IMPROVEMENT</v>
      </c>
      <c r="K33" t="str">
        <v>TARGET ACHIEVED</v>
      </c>
      <c r="L33" t="str">
        <v>A</v>
      </c>
    </row>
    <row r="34" spans="10:12" x14ac:dyDescent="0.25">
      <c r="J34" t="str">
        <v>PRESENT</v>
      </c>
      <c r="K34" t="str">
        <v>TARGET ACHIEVED</v>
      </c>
      <c r="L34" t="str">
        <v>A+</v>
      </c>
    </row>
    <row r="35" spans="10:12" x14ac:dyDescent="0.25">
      <c r="J35" t="str">
        <v>PRESENT</v>
      </c>
      <c r="K35" t="str">
        <v>TARGET ACHIEVED</v>
      </c>
      <c r="L35" t="str">
        <v>B</v>
      </c>
    </row>
    <row r="36" spans="10:12" x14ac:dyDescent="0.25">
      <c r="J36" t="str">
        <v>PRESENT</v>
      </c>
      <c r="K36" t="str">
        <v>TARGET ACHIEVED</v>
      </c>
      <c r="L36" t="str">
        <v>C</v>
      </c>
    </row>
    <row r="37" spans="10:12" x14ac:dyDescent="0.25">
      <c r="J37" t="str">
        <v>PRESENT</v>
      </c>
      <c r="K37" t="str">
        <v>TARGET ACHIEVED</v>
      </c>
      <c r="L37" t="str">
        <v>A</v>
      </c>
    </row>
    <row r="38" spans="10:12" x14ac:dyDescent="0.25">
      <c r="J38" t="str">
        <v>NEEDS IMPROVEMENT</v>
      </c>
      <c r="K38" t="str">
        <v>TARGET MISSED</v>
      </c>
      <c r="L38" t="str">
        <v>B</v>
      </c>
    </row>
    <row r="39" spans="10:12" x14ac:dyDescent="0.25">
      <c r="J39" t="str">
        <v>PRESENT</v>
      </c>
      <c r="K39" t="str">
        <v>TARGET ACHIEVED</v>
      </c>
      <c r="L39" t="str">
        <v>C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nehalbhoyar9@gmail.com</dc:creator>
  <cp:lastModifiedBy>nehalbhoyar9@gmail.com</cp:lastModifiedBy>
  <dcterms:created xsi:type="dcterms:W3CDTF">2026-06-30T05:32:28Z</dcterms:created>
  <dcterms:modified xsi:type="dcterms:W3CDTF">2026-07-01T05:52:43Z</dcterms:modified>
</cp:coreProperties>
</file>